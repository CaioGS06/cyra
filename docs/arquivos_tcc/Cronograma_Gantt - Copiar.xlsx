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Caio\ADS 5\tcc\"/>
    </mc:Choice>
  </mc:AlternateContent>
  <xr:revisionPtr revIDLastSave="0" documentId="13_ncr:1_{FD631A70-438C-46E9-ADA5-749C81526E31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Cronograma" sheetId="1" r:id="rId1"/>
    <sheet name="Gráfico de Gantt" sheetId="2" r:id="rId2"/>
    <sheet name="Gráfico de Gantt (2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4" l="1"/>
  <c r="H19" i="4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F19" i="4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F2" i="2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A3" i="2" a="1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<sst xmlns="http://schemas.openxmlformats.org/spreadsheetml/2006/main" count="119" uniqueCount="82">
  <si>
    <t>CRONOGRAMA</t>
  </si>
  <si>
    <t>Fase</t>
  </si>
  <si>
    <t>Atividade</t>
  </si>
  <si>
    <t>Descrição</t>
  </si>
  <si>
    <t>Duração (dias)</t>
  </si>
  <si>
    <t>Início</t>
  </si>
  <si>
    <t>Fim</t>
  </si>
  <si>
    <t>Responsável</t>
  </si>
  <si>
    <t>Iniciação</t>
  </si>
  <si>
    <t>Definir escopo</t>
  </si>
  <si>
    <t>Identificar objetivos e limites do projeto</t>
  </si>
  <si>
    <t>Victor</t>
  </si>
  <si>
    <t>Identificar stakeholders</t>
  </si>
  <si>
    <t>Levantar interessados e responsabilidades</t>
  </si>
  <si>
    <t>Planejamento</t>
  </si>
  <si>
    <t>Criar EAP</t>
  </si>
  <si>
    <t>Estruturar o projeto em pacotes de trabalho</t>
  </si>
  <si>
    <t>Lucas</t>
  </si>
  <si>
    <t>Elaborar cronograma</t>
  </si>
  <si>
    <t>Estabelecer sequência lógica das tarefas</t>
  </si>
  <si>
    <t>Definir riscos e plano de mitigação</t>
  </si>
  <si>
    <t>Levantar possíveis riscos e ações preventivas</t>
  </si>
  <si>
    <t>Desenvolvimento</t>
  </si>
  <si>
    <t>Criação da ambientação</t>
  </si>
  <si>
    <t>Criar ambientação do jogo</t>
  </si>
  <si>
    <t>Criação da história</t>
  </si>
  <si>
    <t>Criar história que vai ser acompanhada no jogo</t>
  </si>
  <si>
    <t>Criação de moldes de ambiente</t>
  </si>
  <si>
    <t>Criar sprites a serem utilizados para o mapa</t>
  </si>
  <si>
    <t>Criação de moldes de NPCs</t>
  </si>
  <si>
    <t>Criar sprites a serem utilizados em NPCs</t>
  </si>
  <si>
    <t>Rafael</t>
  </si>
  <si>
    <t>Criação de moldes de inimigos</t>
  </si>
  <si>
    <t>Criar sprites a serem utilizados em inimigos</t>
  </si>
  <si>
    <t>Criação da trilha sonora</t>
  </si>
  <si>
    <t>Criar músicas que vão compor a trilha sonora</t>
  </si>
  <si>
    <t>Levi</t>
  </si>
  <si>
    <t>Criação dos efeitos sonoros</t>
  </si>
  <si>
    <t>Criar os efeitos sonoros de ações e ambientação</t>
  </si>
  <si>
    <t>Modelagem do mapa</t>
  </si>
  <si>
    <t>Modelar a estrutura do mapa utilizando os sprites de ambiente</t>
  </si>
  <si>
    <t>Criação do sistema de habilidades</t>
  </si>
  <si>
    <t>Criar sistema de habilidades da personagem principal e inimigos</t>
  </si>
  <si>
    <t>Bianca</t>
  </si>
  <si>
    <t>Criação do sistema de combate</t>
  </si>
  <si>
    <t>Criar sistema de combate geral</t>
  </si>
  <si>
    <t>Monitoramento</t>
  </si>
  <si>
    <t>Acompanhar progresso</t>
  </si>
  <si>
    <t>Atualizar status semanalmente</t>
  </si>
  <si>
    <t>Verificação de bugs</t>
  </si>
  <si>
    <t>Verificar bugs semanalmente</t>
  </si>
  <si>
    <t>Correção de bugs</t>
  </si>
  <si>
    <t>Corrigir bugs encontrados</t>
  </si>
  <si>
    <t>Equipe</t>
  </si>
  <si>
    <t>Encerramento</t>
  </si>
  <si>
    <t>Apresentação final</t>
  </si>
  <si>
    <t>Apresentar resultados e lições aprendidas</t>
  </si>
  <si>
    <t>GRÁFICO DE GANTT</t>
  </si>
  <si>
    <t>Duração (semanas)</t>
  </si>
  <si>
    <t>Pesquisar metodologias organizacionais</t>
  </si>
  <si>
    <t>Pesquisar ferramentas organizacionais</t>
  </si>
  <si>
    <t>Entrevistar desenvolvedores</t>
  </si>
  <si>
    <t>Levantar hipóteses</t>
  </si>
  <si>
    <t>Montar hipóteses em detalhes</t>
  </si>
  <si>
    <t>Levantar possíveis melhorias organizacionais</t>
  </si>
  <si>
    <t>Apresentar</t>
  </si>
  <si>
    <t>Conceitualização do tema</t>
  </si>
  <si>
    <t>Levantamento de requisitos</t>
  </si>
  <si>
    <t>Formulário de pesquisa online</t>
  </si>
  <si>
    <t>Estruturação de requisitos</t>
  </si>
  <si>
    <t>Criação de prompts</t>
  </si>
  <si>
    <t>Análise e translação do código</t>
  </si>
  <si>
    <t>Análise de resultado final</t>
  </si>
  <si>
    <t>Analisar estabilidade</t>
  </si>
  <si>
    <t>Manutenção do código gerado por IA</t>
  </si>
  <si>
    <t>Avaliação entre código gerado por IA e código manual</t>
  </si>
  <si>
    <t>Relatórios de conclusão do projeto</t>
  </si>
  <si>
    <t>Apresentação</t>
  </si>
  <si>
    <t>Tarefas</t>
  </si>
  <si>
    <t>Duração (Semanas)</t>
  </si>
  <si>
    <t>Inicio</t>
  </si>
  <si>
    <t>Dia inicial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</si>
</sst>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7" xfId="0" applyFill="1" applyBorder="1"/>
    <xf numFmtId="0" fontId="0" fillId="4" borderId="8" xfId="0" applyFill="1" applyBorder="1"/>
    <xf numFmtId="0" fontId="0" fillId="6" borderId="7" xfId="0" applyFill="1" applyBorder="1"/>
    <xf numFmtId="0" fontId="0" fillId="6" borderId="8" xfId="0" applyFill="1" applyBorder="1"/>
    <xf numFmtId="0" fontId="2" fillId="8" borderId="2" xfId="0" applyFont="1" applyFill="1" applyBorder="1" applyAlignment="1">
      <alignment horizontal="center" vertical="top"/>
    </xf>
    <xf numFmtId="0" fontId="2" fillId="8" borderId="12" xfId="0" applyFont="1" applyFill="1" applyBorder="1" applyAlignment="1">
      <alignment horizontal="center" vertical="top"/>
    </xf>
    <xf numFmtId="0" fontId="2" fillId="8" borderId="13" xfId="0" applyFont="1" applyFill="1" applyBorder="1" applyAlignment="1">
      <alignment horizontal="center" vertical="top"/>
    </xf>
    <xf numFmtId="0" fontId="2" fillId="8" borderId="14" xfId="0" applyFont="1" applyFill="1" applyBorder="1" applyAlignment="1">
      <alignment horizontal="center" vertical="top"/>
    </xf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5" borderId="7" xfId="0" applyFill="1" applyBorder="1"/>
    <xf numFmtId="0" fontId="0" fillId="5" borderId="8" xfId="0" applyFill="1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3" borderId="3" xfId="0" applyNumberFormat="1" applyFill="1" applyBorder="1"/>
    <xf numFmtId="14" fontId="0" fillId="6" borderId="1" xfId="0" applyNumberFormat="1" applyFill="1" applyBorder="1"/>
    <xf numFmtId="14" fontId="0" fillId="7" borderId="10" xfId="0" applyNumberFormat="1" applyFill="1" applyBorder="1"/>
    <xf numFmtId="0" fontId="0" fillId="5" borderId="15" xfId="0" applyFill="1" applyBorder="1"/>
    <xf numFmtId="0" fontId="0" fillId="4" borderId="16" xfId="0" applyFill="1" applyBorder="1"/>
    <xf numFmtId="0" fontId="0" fillId="4" borderId="17" xfId="0" applyFill="1" applyBorder="1"/>
    <xf numFmtId="14" fontId="0" fillId="4" borderId="17" xfId="0" applyNumberFormat="1" applyFill="1" applyBorder="1"/>
    <xf numFmtId="0" fontId="0" fillId="4" borderId="18" xfId="0" applyFill="1" applyBorder="1"/>
    <xf numFmtId="0" fontId="0" fillId="5" borderId="5" xfId="0" applyFill="1" applyBorder="1"/>
    <xf numFmtId="0" fontId="0" fillId="5" borderId="3" xfId="0" applyFill="1" applyBorder="1"/>
    <xf numFmtId="0" fontId="0" fillId="5" borderId="6" xfId="0" applyFill="1" applyBorder="1"/>
    <xf numFmtId="0" fontId="0" fillId="5" borderId="20" xfId="0" applyFill="1" applyBorder="1"/>
    <xf numFmtId="0" fontId="0" fillId="0" borderId="21" xfId="0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5" borderId="15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7" xfId="0" applyBorder="1"/>
    <xf numFmtId="0" fontId="0" fillId="0" borderId="15" xfId="0" applyBorder="1"/>
    <xf numFmtId="14" fontId="0" fillId="5" borderId="15" xfId="0" applyNumberFormat="1" applyFill="1" applyBorder="1"/>
    <xf numFmtId="14" fontId="0" fillId="0" borderId="1" xfId="0" applyNumberFormat="1" applyBorder="1" applyAlignment="1">
      <alignment textRotation="90"/>
    </xf>
    <xf numFmtId="14" fontId="0" fillId="0" borderId="23" xfId="0" applyNumberFormat="1" applyBorder="1" applyAlignment="1">
      <alignment textRotation="90"/>
    </xf>
    <xf numFmtId="0" fontId="0" fillId="0" borderId="22" xfId="0" applyBorder="1"/>
    <xf numFmtId="14" fontId="0" fillId="0" borderId="17" xfId="0" applyNumberFormat="1" applyBorder="1" applyAlignment="1">
      <alignment textRotation="90"/>
    </xf>
    <xf numFmtId="14" fontId="0" fillId="0" borderId="19" xfId="0" applyNumberFormat="1" applyBorder="1" applyAlignment="1">
      <alignment textRotation="90"/>
    </xf>
    <xf numFmtId="0" fontId="0" fillId="10" borderId="1" xfId="0" applyFill="1" applyBorder="1"/>
    <xf numFmtId="0" fontId="0" fillId="0" borderId="17" xfId="0" applyBorder="1" applyAlignment="1">
      <alignment horizontal="center"/>
    </xf>
    <xf numFmtId="0" fontId="0" fillId="10" borderId="17" xfId="0" applyFill="1" applyBorder="1"/>
    <xf numFmtId="0" fontId="0" fillId="10" borderId="19" xfId="0" applyFill="1" applyBorder="1"/>
    <xf numFmtId="0" fontId="0" fillId="0" borderId="24" xfId="0" applyBorder="1"/>
    <xf numFmtId="0" fontId="0" fillId="0" borderId="20" xfId="0" applyBorder="1" applyAlignment="1">
      <alignment horizontal="center"/>
    </xf>
    <xf numFmtId="0" fontId="4" fillId="11" borderId="17" xfId="0" applyFont="1" applyFill="1" applyBorder="1"/>
    <xf numFmtId="0" fontId="0" fillId="11" borderId="15" xfId="0" applyFill="1" applyBorder="1"/>
    <xf numFmtId="14" fontId="1" fillId="0" borderId="1" xfId="0" applyNumberFormat="1" applyFont="1" applyBorder="1"/>
    <xf numFmtId="14" fontId="0" fillId="0" borderId="1" xfId="0" applyNumberFormat="1" applyBorder="1"/>
    <xf numFmtId="0" fontId="0" fillId="11" borderId="1" xfId="0" applyFill="1" applyBorder="1"/>
    <xf numFmtId="0" fontId="0" fillId="11" borderId="22" xfId="0" applyFill="1" applyBorder="1"/>
    <xf numFmtId="0" fontId="0" fillId="0" borderId="0" xfId="0" applyAlignment="1">
      <alignment horizontal="center"/>
    </xf>
    <xf numFmtId="0" fontId="1" fillId="10" borderId="1" xfId="0" applyFont="1" applyFill="1" applyBorder="1"/>
    <xf numFmtId="14" fontId="1" fillId="10" borderId="1" xfId="0" applyNumberFormat="1" applyFont="1" applyFill="1" applyBorder="1"/>
    <xf numFmtId="14" fontId="0" fillId="10" borderId="1" xfId="0" applyNumberFormat="1" applyFill="1" applyBorder="1" applyAlignment="1">
      <alignment textRotation="90"/>
    </xf>
    <xf numFmtId="14" fontId="0" fillId="10" borderId="17" xfId="0" applyNumberFormat="1" applyFill="1" applyBorder="1" applyAlignment="1">
      <alignment textRotation="90"/>
    </xf>
    <xf numFmtId="14" fontId="0" fillId="10" borderId="19" xfId="0" applyNumberFormat="1" applyFill="1" applyBorder="1" applyAlignment="1">
      <alignment textRotation="90"/>
    </xf>
    <xf numFmtId="0" fontId="0" fillId="10" borderId="22" xfId="0" applyFill="1" applyBorder="1"/>
    <xf numFmtId="0" fontId="0" fillId="10" borderId="15" xfId="0" applyFill="1" applyBorder="1"/>
    <xf numFmtId="14" fontId="0" fillId="10" borderId="1" xfId="0" applyNumberFormat="1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wrapText="1"/>
    </xf>
    <xf numFmtId="14" fontId="0" fillId="0" borderId="0" xfId="0" applyNumberFormat="1"/>
    <xf numFmtId="0" fontId="3" fillId="9" borderId="4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11" workbookViewId="0">
      <selection sqref="A1:G21"/>
    </sheetView>
  </sheetViews>
  <sheetFormatPr defaultRowHeight="14.5" x14ac:dyDescent="0.35"/>
  <cols>
    <col min="1" max="1" width="16.08984375" bestFit="1" customWidth="1"/>
    <col min="2" max="2" width="32" bestFit="1" customWidth="1"/>
    <col min="3" max="3" width="41.36328125" bestFit="1" customWidth="1"/>
    <col min="4" max="4" width="13.54296875" bestFit="1" customWidth="1"/>
    <col min="5" max="6" width="11.08984375" bestFit="1" customWidth="1"/>
    <col min="7" max="7" width="12.08984375" bestFit="1" customWidth="1"/>
    <col min="8" max="8" width="11.08984375" bestFit="1" customWidth="1"/>
    <col min="9" max="9" width="10.08984375" bestFit="1" customWidth="1"/>
  </cols>
  <sheetData>
    <row r="1" spans="1:9" ht="26.5" thickBot="1" x14ac:dyDescent="0.65">
      <c r="A1" s="76" t="s">
        <v>0</v>
      </c>
      <c r="B1" s="76"/>
      <c r="C1" s="76"/>
      <c r="D1" s="76"/>
      <c r="E1" s="76"/>
      <c r="F1" s="76"/>
      <c r="G1" s="76"/>
    </row>
    <row r="2" spans="1:9" x14ac:dyDescent="0.35">
      <c r="A2" s="15" t="s">
        <v>1</v>
      </c>
      <c r="B2" s="14" t="s">
        <v>2</v>
      </c>
      <c r="C2" s="16" t="s">
        <v>3</v>
      </c>
      <c r="D2" s="14" t="s">
        <v>4</v>
      </c>
      <c r="E2" s="16" t="s">
        <v>5</v>
      </c>
      <c r="F2" s="14" t="s">
        <v>6</v>
      </c>
      <c r="G2" s="17" t="s">
        <v>7</v>
      </c>
    </row>
    <row r="3" spans="1:9" x14ac:dyDescent="0.35">
      <c r="A3" s="7" t="s">
        <v>8</v>
      </c>
      <c r="B3" s="2" t="s">
        <v>9</v>
      </c>
      <c r="C3" s="2" t="s">
        <v>10</v>
      </c>
      <c r="D3" s="2">
        <v>14</v>
      </c>
      <c r="E3" s="26">
        <v>45948</v>
      </c>
      <c r="F3" s="26">
        <v>45668</v>
      </c>
      <c r="G3" s="8" t="s">
        <v>11</v>
      </c>
      <c r="I3" s="75"/>
    </row>
    <row r="4" spans="1:9" x14ac:dyDescent="0.35">
      <c r="A4" s="9" t="s">
        <v>8</v>
      </c>
      <c r="B4" s="3" t="s">
        <v>12</v>
      </c>
      <c r="C4" s="3" t="s">
        <v>13</v>
      </c>
      <c r="D4" s="2">
        <f t="shared" ref="D4:D21" si="0">_xlfn.DAYS(F4,E4)</f>
        <v>14</v>
      </c>
      <c r="E4" s="26">
        <v>45962</v>
      </c>
      <c r="F4" s="26">
        <v>45976</v>
      </c>
      <c r="G4" s="8" t="s">
        <v>11</v>
      </c>
    </row>
    <row r="5" spans="1:9" x14ac:dyDescent="0.35">
      <c r="A5" s="10" t="s">
        <v>14</v>
      </c>
      <c r="B5" s="4" t="s">
        <v>15</v>
      </c>
      <c r="C5" s="4" t="s">
        <v>16</v>
      </c>
      <c r="D5" s="4">
        <f t="shared" si="0"/>
        <v>14</v>
      </c>
      <c r="E5" s="32">
        <v>45976</v>
      </c>
      <c r="F5" s="32">
        <v>45990</v>
      </c>
      <c r="G5" s="11" t="s">
        <v>17</v>
      </c>
    </row>
    <row r="6" spans="1:9" x14ac:dyDescent="0.35">
      <c r="A6" s="10" t="s">
        <v>14</v>
      </c>
      <c r="B6" s="4" t="s">
        <v>18</v>
      </c>
      <c r="C6" s="4" t="s">
        <v>19</v>
      </c>
      <c r="D6" s="4">
        <f t="shared" si="0"/>
        <v>14</v>
      </c>
      <c r="E6" s="32">
        <v>45990</v>
      </c>
      <c r="F6" s="32">
        <v>46004</v>
      </c>
      <c r="G6" s="11" t="s">
        <v>17</v>
      </c>
    </row>
    <row r="7" spans="1:9" x14ac:dyDescent="0.35">
      <c r="A7" s="30" t="s">
        <v>14</v>
      </c>
      <c r="B7" s="31" t="s">
        <v>20</v>
      </c>
      <c r="C7" s="31" t="s">
        <v>21</v>
      </c>
      <c r="D7" s="31">
        <f t="shared" si="0"/>
        <v>78</v>
      </c>
      <c r="E7" s="32">
        <v>46004</v>
      </c>
      <c r="F7" s="32">
        <v>46082</v>
      </c>
      <c r="G7" s="33" t="s">
        <v>17</v>
      </c>
    </row>
    <row r="8" spans="1:9" x14ac:dyDescent="0.35">
      <c r="A8" s="29" t="s">
        <v>22</v>
      </c>
      <c r="B8" s="29" t="s">
        <v>23</v>
      </c>
      <c r="C8" s="29" t="s">
        <v>24</v>
      </c>
      <c r="D8" s="29">
        <f t="shared" si="0"/>
        <v>105</v>
      </c>
      <c r="E8" s="46">
        <v>46025</v>
      </c>
      <c r="F8" s="46">
        <v>46130</v>
      </c>
      <c r="G8" s="37" t="s">
        <v>11</v>
      </c>
      <c r="H8" s="38"/>
    </row>
    <row r="9" spans="1:9" x14ac:dyDescent="0.35">
      <c r="A9" s="29" t="s">
        <v>22</v>
      </c>
      <c r="B9" s="29" t="s">
        <v>25</v>
      </c>
      <c r="C9" s="42" t="s">
        <v>26</v>
      </c>
      <c r="D9" s="29">
        <f t="shared" si="0"/>
        <v>63</v>
      </c>
      <c r="E9" s="46">
        <v>46130</v>
      </c>
      <c r="F9" s="46">
        <v>46193</v>
      </c>
      <c r="G9" s="37" t="s">
        <v>11</v>
      </c>
      <c r="H9" s="38"/>
    </row>
    <row r="10" spans="1:9" x14ac:dyDescent="0.35">
      <c r="A10" s="34" t="s">
        <v>22</v>
      </c>
      <c r="B10" s="35" t="s">
        <v>27</v>
      </c>
      <c r="C10" s="35" t="s">
        <v>28</v>
      </c>
      <c r="D10" s="35">
        <f t="shared" si="0"/>
        <v>91</v>
      </c>
      <c r="E10" s="46">
        <v>46088</v>
      </c>
      <c r="F10" s="46">
        <v>46179</v>
      </c>
      <c r="G10" s="36" t="s">
        <v>11</v>
      </c>
    </row>
    <row r="11" spans="1:9" x14ac:dyDescent="0.35">
      <c r="A11" s="21" t="s">
        <v>22</v>
      </c>
      <c r="B11" s="5" t="s">
        <v>29</v>
      </c>
      <c r="C11" s="5" t="s">
        <v>30</v>
      </c>
      <c r="D11" s="5">
        <f t="shared" si="0"/>
        <v>28</v>
      </c>
      <c r="E11" s="46">
        <v>46088</v>
      </c>
      <c r="F11" s="46">
        <v>46116</v>
      </c>
      <c r="G11" s="22" t="s">
        <v>31</v>
      </c>
    </row>
    <row r="12" spans="1:9" x14ac:dyDescent="0.35">
      <c r="A12" s="21" t="s">
        <v>22</v>
      </c>
      <c r="B12" s="5" t="s">
        <v>32</v>
      </c>
      <c r="C12" s="5" t="s">
        <v>33</v>
      </c>
      <c r="D12" s="5">
        <f t="shared" si="0"/>
        <v>77</v>
      </c>
      <c r="E12" s="46">
        <v>46123</v>
      </c>
      <c r="F12" s="46">
        <v>46200</v>
      </c>
      <c r="G12" s="22" t="s">
        <v>31</v>
      </c>
    </row>
    <row r="13" spans="1:9" x14ac:dyDescent="0.35">
      <c r="A13" s="21" t="s">
        <v>22</v>
      </c>
      <c r="B13" s="5" t="s">
        <v>34</v>
      </c>
      <c r="C13" s="5" t="s">
        <v>35</v>
      </c>
      <c r="D13" s="5">
        <f t="shared" si="0"/>
        <v>133</v>
      </c>
      <c r="E13" s="46">
        <v>46088</v>
      </c>
      <c r="F13" s="46">
        <v>46221</v>
      </c>
      <c r="G13" s="22" t="s">
        <v>36</v>
      </c>
    </row>
    <row r="14" spans="1:9" ht="29" x14ac:dyDescent="0.35">
      <c r="A14" s="21" t="s">
        <v>22</v>
      </c>
      <c r="B14" s="5" t="s">
        <v>37</v>
      </c>
      <c r="C14" s="43" t="s">
        <v>38</v>
      </c>
      <c r="D14" s="5">
        <f t="shared" si="0"/>
        <v>63</v>
      </c>
      <c r="E14" s="46">
        <v>46228</v>
      </c>
      <c r="F14" s="46">
        <v>46291</v>
      </c>
      <c r="G14" s="22" t="s">
        <v>36</v>
      </c>
    </row>
    <row r="15" spans="1:9" ht="29" x14ac:dyDescent="0.35">
      <c r="A15" s="21" t="s">
        <v>22</v>
      </c>
      <c r="B15" s="5" t="s">
        <v>39</v>
      </c>
      <c r="C15" s="43" t="s">
        <v>40</v>
      </c>
      <c r="D15" s="5">
        <f t="shared" si="0"/>
        <v>91</v>
      </c>
      <c r="E15" s="46">
        <v>46137</v>
      </c>
      <c r="F15" s="46">
        <v>46228</v>
      </c>
      <c r="G15" s="22" t="s">
        <v>11</v>
      </c>
    </row>
    <row r="16" spans="1:9" ht="29" x14ac:dyDescent="0.35">
      <c r="A16" s="21" t="s">
        <v>22</v>
      </c>
      <c r="B16" s="5" t="s">
        <v>41</v>
      </c>
      <c r="C16" s="43" t="s">
        <v>42</v>
      </c>
      <c r="D16" s="5">
        <f t="shared" si="0"/>
        <v>21</v>
      </c>
      <c r="E16" s="46">
        <v>46088</v>
      </c>
      <c r="F16" s="46">
        <v>46109</v>
      </c>
      <c r="G16" s="22" t="s">
        <v>43</v>
      </c>
    </row>
    <row r="17" spans="1:7" x14ac:dyDescent="0.35">
      <c r="A17" s="21" t="s">
        <v>22</v>
      </c>
      <c r="B17" s="5" t="s">
        <v>44</v>
      </c>
      <c r="C17" s="5" t="s">
        <v>45</v>
      </c>
      <c r="D17" s="5">
        <f t="shared" si="0"/>
        <v>28</v>
      </c>
      <c r="E17" s="46">
        <v>46109</v>
      </c>
      <c r="F17" s="46">
        <v>46137</v>
      </c>
      <c r="G17" s="22" t="s">
        <v>43</v>
      </c>
    </row>
    <row r="18" spans="1:7" x14ac:dyDescent="0.35">
      <c r="A18" s="12" t="s">
        <v>46</v>
      </c>
      <c r="B18" s="6" t="s">
        <v>47</v>
      </c>
      <c r="C18" s="6" t="s">
        <v>48</v>
      </c>
      <c r="D18" s="6">
        <f t="shared" si="0"/>
        <v>336</v>
      </c>
      <c r="E18" s="27">
        <v>46018</v>
      </c>
      <c r="F18" s="27">
        <v>46354</v>
      </c>
      <c r="G18" s="13" t="s">
        <v>17</v>
      </c>
    </row>
    <row r="19" spans="1:7" x14ac:dyDescent="0.35">
      <c r="A19" s="39" t="s">
        <v>46</v>
      </c>
      <c r="B19" s="40" t="s">
        <v>49</v>
      </c>
      <c r="C19" s="40" t="s">
        <v>50</v>
      </c>
      <c r="D19" s="6">
        <f t="shared" si="0"/>
        <v>49</v>
      </c>
      <c r="E19" s="27">
        <v>46277</v>
      </c>
      <c r="F19" s="27">
        <v>46326</v>
      </c>
      <c r="G19" s="41" t="s">
        <v>17</v>
      </c>
    </row>
    <row r="20" spans="1:7" x14ac:dyDescent="0.35">
      <c r="A20" s="39" t="s">
        <v>46</v>
      </c>
      <c r="B20" s="40" t="s">
        <v>51</v>
      </c>
      <c r="C20" s="40" t="s">
        <v>52</v>
      </c>
      <c r="D20" s="6">
        <f t="shared" si="0"/>
        <v>21</v>
      </c>
      <c r="E20" s="27">
        <v>46333</v>
      </c>
      <c r="F20" s="27">
        <v>46354</v>
      </c>
      <c r="G20" s="41" t="s">
        <v>53</v>
      </c>
    </row>
    <row r="21" spans="1:7" x14ac:dyDescent="0.35">
      <c r="A21" s="18" t="s">
        <v>54</v>
      </c>
      <c r="B21" s="19" t="s">
        <v>55</v>
      </c>
      <c r="C21" s="19" t="s">
        <v>56</v>
      </c>
      <c r="D21" s="19">
        <f t="shared" si="0"/>
        <v>7</v>
      </c>
      <c r="E21" s="28">
        <v>46361</v>
      </c>
      <c r="F21" s="28">
        <v>46368</v>
      </c>
      <c r="G21" s="20" t="s">
        <v>53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1"/>
  <sheetViews>
    <sheetView topLeftCell="A2" workbookViewId="0">
      <selection activeCell="B3" sqref="B3:C21"/>
    </sheetView>
  </sheetViews>
  <sheetFormatPr defaultRowHeight="14.5" x14ac:dyDescent="0.35"/>
  <cols>
    <col min="1" max="1" width="30.6328125" bestFit="1" customWidth="1"/>
    <col min="2" max="3" width="11.08984375" bestFit="1" customWidth="1"/>
    <col min="4" max="4" width="17.90625" bestFit="1" customWidth="1"/>
    <col min="5" max="65" width="3.54296875" customWidth="1"/>
  </cols>
  <sheetData>
    <row r="1" spans="1:66" ht="26" x14ac:dyDescent="0.6">
      <c r="A1" s="77" t="s">
        <v>57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</row>
    <row r="2" spans="1:66" ht="150" customHeight="1" x14ac:dyDescent="0.35">
      <c r="A2" s="24" t="s">
        <v>2</v>
      </c>
      <c r="B2" s="60" t="s">
        <v>5</v>
      </c>
      <c r="C2" s="24" t="s">
        <v>6</v>
      </c>
      <c r="D2" s="24" t="s">
        <v>58</v>
      </c>
      <c r="E2" s="47">
        <v>45948</v>
      </c>
      <c r="F2" s="47">
        <f>E2+7</f>
        <v>45955</v>
      </c>
      <c r="G2" s="47">
        <f t="shared" ref="G2:BM2" si="0">F2+7</f>
        <v>45962</v>
      </c>
      <c r="H2" s="47">
        <f t="shared" si="0"/>
        <v>45969</v>
      </c>
      <c r="I2" s="47">
        <f t="shared" si="0"/>
        <v>45976</v>
      </c>
      <c r="J2" s="47">
        <f t="shared" si="0"/>
        <v>45983</v>
      </c>
      <c r="K2" s="47">
        <f t="shared" si="0"/>
        <v>45990</v>
      </c>
      <c r="L2" s="47">
        <f t="shared" si="0"/>
        <v>45997</v>
      </c>
      <c r="M2" s="47">
        <f t="shared" si="0"/>
        <v>46004</v>
      </c>
      <c r="N2" s="47">
        <f t="shared" si="0"/>
        <v>46011</v>
      </c>
      <c r="O2" s="47">
        <f t="shared" si="0"/>
        <v>46018</v>
      </c>
      <c r="P2" s="47">
        <f t="shared" si="0"/>
        <v>46025</v>
      </c>
      <c r="Q2" s="47">
        <f t="shared" si="0"/>
        <v>46032</v>
      </c>
      <c r="R2" s="47">
        <f t="shared" si="0"/>
        <v>46039</v>
      </c>
      <c r="S2" s="47">
        <f t="shared" si="0"/>
        <v>46046</v>
      </c>
      <c r="T2" s="47">
        <f t="shared" si="0"/>
        <v>46053</v>
      </c>
      <c r="U2" s="47">
        <f t="shared" si="0"/>
        <v>46060</v>
      </c>
      <c r="V2" s="47">
        <f t="shared" si="0"/>
        <v>46067</v>
      </c>
      <c r="W2" s="47">
        <f t="shared" si="0"/>
        <v>46074</v>
      </c>
      <c r="X2" s="47">
        <f t="shared" si="0"/>
        <v>46081</v>
      </c>
      <c r="Y2" s="47">
        <f t="shared" si="0"/>
        <v>46088</v>
      </c>
      <c r="Z2" s="47">
        <f t="shared" si="0"/>
        <v>46095</v>
      </c>
      <c r="AA2" s="47">
        <f t="shared" si="0"/>
        <v>46102</v>
      </c>
      <c r="AB2" s="47">
        <f t="shared" si="0"/>
        <v>46109</v>
      </c>
      <c r="AC2" s="47">
        <f t="shared" si="0"/>
        <v>46116</v>
      </c>
      <c r="AD2" s="47">
        <f t="shared" si="0"/>
        <v>46123</v>
      </c>
      <c r="AE2" s="47">
        <f t="shared" si="0"/>
        <v>46130</v>
      </c>
      <c r="AF2" s="47">
        <f t="shared" si="0"/>
        <v>46137</v>
      </c>
      <c r="AG2" s="47">
        <f t="shared" si="0"/>
        <v>46144</v>
      </c>
      <c r="AH2" s="47">
        <f t="shared" si="0"/>
        <v>46151</v>
      </c>
      <c r="AI2" s="47">
        <f t="shared" si="0"/>
        <v>46158</v>
      </c>
      <c r="AJ2" s="47">
        <f t="shared" si="0"/>
        <v>46165</v>
      </c>
      <c r="AK2" s="47">
        <f t="shared" si="0"/>
        <v>46172</v>
      </c>
      <c r="AL2" s="47">
        <f t="shared" si="0"/>
        <v>46179</v>
      </c>
      <c r="AM2" s="47">
        <f t="shared" si="0"/>
        <v>46186</v>
      </c>
      <c r="AN2" s="47">
        <f t="shared" si="0"/>
        <v>46193</v>
      </c>
      <c r="AO2" s="47">
        <f t="shared" si="0"/>
        <v>46200</v>
      </c>
      <c r="AP2" s="47">
        <f t="shared" si="0"/>
        <v>46207</v>
      </c>
      <c r="AQ2" s="47">
        <f t="shared" si="0"/>
        <v>46214</v>
      </c>
      <c r="AR2" s="47">
        <f t="shared" si="0"/>
        <v>46221</v>
      </c>
      <c r="AS2" s="47">
        <f t="shared" si="0"/>
        <v>46228</v>
      </c>
      <c r="AT2" s="47">
        <f t="shared" si="0"/>
        <v>46235</v>
      </c>
      <c r="AU2" s="47">
        <f t="shared" si="0"/>
        <v>46242</v>
      </c>
      <c r="AV2" s="47">
        <f t="shared" si="0"/>
        <v>46249</v>
      </c>
      <c r="AW2" s="47">
        <f t="shared" si="0"/>
        <v>46256</v>
      </c>
      <c r="AX2" s="47">
        <f t="shared" si="0"/>
        <v>46263</v>
      </c>
      <c r="AY2" s="47">
        <f t="shared" si="0"/>
        <v>46270</v>
      </c>
      <c r="AZ2" s="47">
        <f t="shared" si="0"/>
        <v>46277</v>
      </c>
      <c r="BA2" s="47">
        <f t="shared" si="0"/>
        <v>46284</v>
      </c>
      <c r="BB2" s="47">
        <f t="shared" si="0"/>
        <v>46291</v>
      </c>
      <c r="BC2" s="47">
        <f t="shared" si="0"/>
        <v>46298</v>
      </c>
      <c r="BD2" s="50">
        <f t="shared" si="0"/>
        <v>46305</v>
      </c>
      <c r="BE2" s="50">
        <f t="shared" si="0"/>
        <v>46312</v>
      </c>
      <c r="BF2" s="50">
        <f t="shared" si="0"/>
        <v>46319</v>
      </c>
      <c r="BG2" s="50">
        <f t="shared" si="0"/>
        <v>46326</v>
      </c>
      <c r="BH2" s="50">
        <f t="shared" si="0"/>
        <v>46333</v>
      </c>
      <c r="BI2" s="50">
        <f t="shared" si="0"/>
        <v>46340</v>
      </c>
      <c r="BJ2" s="50">
        <f t="shared" si="0"/>
        <v>46347</v>
      </c>
      <c r="BK2" s="50">
        <f t="shared" si="0"/>
        <v>46354</v>
      </c>
      <c r="BL2" s="50">
        <f t="shared" si="0"/>
        <v>46361</v>
      </c>
      <c r="BM2" s="51">
        <f t="shared" si="0"/>
        <v>46368</v>
      </c>
      <c r="BN2" s="48"/>
    </row>
    <row r="3" spans="1:66" x14ac:dyDescent="0.35">
      <c r="A3" s="1" t="str" cm="1">
        <f t="array" ref="A3:A21">Cronograma!B3:B21</f>
        <v>Definir escopo</v>
      </c>
      <c r="B3" s="61">
        <v>45948</v>
      </c>
      <c r="C3" s="61">
        <v>45668</v>
      </c>
      <c r="D3" s="25">
        <v>2</v>
      </c>
      <c r="E3" s="23"/>
      <c r="F3" s="2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49"/>
      <c r="BD3" s="45"/>
      <c r="BE3" s="45"/>
      <c r="BF3" s="45"/>
      <c r="BG3" s="45"/>
      <c r="BH3" s="45"/>
      <c r="BI3" s="45"/>
      <c r="BJ3" s="45"/>
      <c r="BK3" s="45"/>
      <c r="BL3" s="45"/>
      <c r="BM3" s="45"/>
    </row>
    <row r="4" spans="1:66" x14ac:dyDescent="0.35">
      <c r="A4" s="1" t="str">
        <v>Identificar stakeholders</v>
      </c>
      <c r="B4" s="61">
        <v>45962</v>
      </c>
      <c r="C4" s="61">
        <v>45976</v>
      </c>
      <c r="D4" s="25">
        <v>2</v>
      </c>
      <c r="E4" s="1"/>
      <c r="F4" s="1"/>
      <c r="G4" s="23"/>
      <c r="H4" s="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49"/>
      <c r="BD4" s="45"/>
      <c r="BE4" s="45"/>
      <c r="BF4" s="45"/>
      <c r="BG4" s="45"/>
      <c r="BH4" s="45"/>
      <c r="BI4" s="45"/>
      <c r="BJ4" s="45"/>
      <c r="BK4" s="45"/>
      <c r="BL4" s="45"/>
      <c r="BM4" s="45"/>
    </row>
    <row r="5" spans="1:66" x14ac:dyDescent="0.35">
      <c r="A5" s="1" t="str">
        <v>Criar EAP</v>
      </c>
      <c r="B5" s="61">
        <v>45976</v>
      </c>
      <c r="C5" s="61">
        <v>45990</v>
      </c>
      <c r="D5" s="25">
        <v>2</v>
      </c>
      <c r="E5" s="1"/>
      <c r="F5" s="1"/>
      <c r="G5" s="1"/>
      <c r="H5" s="1"/>
      <c r="I5" s="23"/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49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x14ac:dyDescent="0.35">
      <c r="A6" s="1" t="str">
        <v>Elaborar cronograma</v>
      </c>
      <c r="B6" s="61">
        <v>45990</v>
      </c>
      <c r="C6" s="61">
        <v>46004</v>
      </c>
      <c r="D6" s="25">
        <v>2</v>
      </c>
      <c r="E6" s="1"/>
      <c r="F6" s="1"/>
      <c r="G6" s="1"/>
      <c r="H6" s="1"/>
      <c r="I6" s="1"/>
      <c r="J6" s="1"/>
      <c r="K6" s="23"/>
      <c r="L6" s="2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49"/>
      <c r="BD6" s="45"/>
      <c r="BE6" s="45"/>
      <c r="BF6" s="45"/>
      <c r="BG6" s="45"/>
      <c r="BH6" s="45"/>
      <c r="BI6" s="45"/>
      <c r="BJ6" s="45"/>
      <c r="BK6" s="45"/>
      <c r="BL6" s="45"/>
      <c r="BM6" s="45"/>
    </row>
    <row r="7" spans="1:66" x14ac:dyDescent="0.35">
      <c r="A7" s="1" t="str">
        <v>Definir riscos e plano de mitigação</v>
      </c>
      <c r="B7" s="61">
        <v>46004</v>
      </c>
      <c r="C7" s="61">
        <v>46082</v>
      </c>
      <c r="D7" s="25">
        <v>3</v>
      </c>
      <c r="E7" s="1"/>
      <c r="F7" s="1"/>
      <c r="G7" s="1"/>
      <c r="H7" s="1"/>
      <c r="I7" s="1"/>
      <c r="J7" s="1"/>
      <c r="K7" s="1"/>
      <c r="L7" s="1"/>
      <c r="M7" s="23"/>
      <c r="N7" s="23"/>
      <c r="O7" s="2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49"/>
      <c r="BD7" s="45"/>
      <c r="BE7" s="45"/>
      <c r="BF7" s="45"/>
      <c r="BG7" s="45"/>
      <c r="BH7" s="45"/>
      <c r="BI7" s="45"/>
      <c r="BJ7" s="45"/>
      <c r="BK7" s="45"/>
      <c r="BL7" s="45"/>
      <c r="BM7" s="45"/>
    </row>
    <row r="8" spans="1:66" x14ac:dyDescent="0.35">
      <c r="A8" s="1" t="str">
        <v>Criação da ambientação</v>
      </c>
      <c r="B8" s="61">
        <v>46025</v>
      </c>
      <c r="C8" s="61">
        <v>46130</v>
      </c>
      <c r="D8" s="25">
        <v>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49"/>
      <c r="BD8" s="45"/>
      <c r="BE8" s="45"/>
      <c r="BF8" s="45"/>
      <c r="BG8" s="45"/>
      <c r="BH8" s="45"/>
      <c r="BI8" s="45"/>
      <c r="BJ8" s="45"/>
      <c r="BK8" s="45"/>
      <c r="BL8" s="45"/>
      <c r="BM8" s="45"/>
    </row>
    <row r="9" spans="1:66" x14ac:dyDescent="0.35">
      <c r="A9" s="1" t="str">
        <v>Criação da história</v>
      </c>
      <c r="B9" s="61">
        <v>46130</v>
      </c>
      <c r="C9" s="61">
        <v>46193</v>
      </c>
      <c r="D9" s="25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49"/>
      <c r="BD9" s="45"/>
      <c r="BE9" s="45"/>
      <c r="BF9" s="45"/>
      <c r="BG9" s="45"/>
      <c r="BH9" s="45"/>
      <c r="BI9" s="45"/>
      <c r="BJ9" s="45"/>
      <c r="BK9" s="45"/>
      <c r="BL9" s="45"/>
      <c r="BM9" s="45"/>
    </row>
    <row r="10" spans="1:66" x14ac:dyDescent="0.35">
      <c r="A10" s="1" t="str">
        <v>Criação de moldes de ambiente</v>
      </c>
      <c r="B10" s="61">
        <v>46088</v>
      </c>
      <c r="C10" s="61">
        <v>46179</v>
      </c>
      <c r="D10" s="25">
        <v>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1"/>
      <c r="AZ10" s="1"/>
      <c r="BA10" s="1"/>
      <c r="BB10" s="1"/>
      <c r="BC10" s="49"/>
      <c r="BD10" s="45"/>
      <c r="BE10" s="45"/>
      <c r="BF10" s="45"/>
      <c r="BG10" s="45"/>
      <c r="BH10" s="45"/>
      <c r="BI10" s="45"/>
      <c r="BJ10" s="45"/>
      <c r="BK10" s="45"/>
      <c r="BL10" s="45"/>
      <c r="BM10" s="45"/>
    </row>
    <row r="11" spans="1:66" x14ac:dyDescent="0.35">
      <c r="A11" s="44" t="str">
        <v>Criação de moldes de NPCs</v>
      </c>
      <c r="B11" s="61">
        <v>46088</v>
      </c>
      <c r="C11" s="61">
        <v>46116</v>
      </c>
      <c r="D11" s="53">
        <v>5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58"/>
      <c r="Z11" s="58"/>
      <c r="AA11" s="58"/>
      <c r="AB11" s="58"/>
      <c r="AC11" s="58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54"/>
      <c r="AZ11" s="54"/>
      <c r="BA11" s="54"/>
      <c r="BB11" s="54"/>
      <c r="BC11" s="55"/>
      <c r="BD11" s="56"/>
      <c r="BE11" s="56"/>
      <c r="BF11" s="56"/>
      <c r="BG11" s="56"/>
      <c r="BH11" s="56"/>
      <c r="BI11" s="56"/>
      <c r="BJ11" s="56"/>
      <c r="BK11" s="56"/>
      <c r="BL11" s="56"/>
      <c r="BM11" s="56"/>
    </row>
    <row r="12" spans="1:66" x14ac:dyDescent="0.35">
      <c r="A12" s="45" t="str">
        <v>Criação de moldes de inimigos</v>
      </c>
      <c r="B12" s="61">
        <v>46123</v>
      </c>
      <c r="C12" s="61">
        <v>46200</v>
      </c>
      <c r="D12" s="57">
        <v>12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</row>
    <row r="13" spans="1:66" x14ac:dyDescent="0.35">
      <c r="A13" s="45" t="str">
        <v>Criação da trilha sonora</v>
      </c>
      <c r="B13" s="61">
        <v>46088</v>
      </c>
      <c r="C13" s="61">
        <v>46221</v>
      </c>
      <c r="D13" s="57">
        <v>20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</row>
    <row r="14" spans="1:66" x14ac:dyDescent="0.35">
      <c r="A14" s="45" t="str">
        <v>Criação dos efeitos sonoros</v>
      </c>
      <c r="B14" s="61">
        <v>46228</v>
      </c>
      <c r="C14" s="61">
        <v>46291</v>
      </c>
      <c r="D14" s="57">
        <v>10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</row>
    <row r="15" spans="1:66" x14ac:dyDescent="0.35">
      <c r="A15" s="45" t="str">
        <v>Modelagem do mapa</v>
      </c>
      <c r="B15" s="61">
        <v>46137</v>
      </c>
      <c r="C15" s="61">
        <v>46228</v>
      </c>
      <c r="D15" s="57">
        <v>14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</row>
    <row r="16" spans="1:66" x14ac:dyDescent="0.35">
      <c r="A16" s="45" t="str">
        <v>Criação do sistema de habilidades</v>
      </c>
      <c r="B16" s="61">
        <v>46088</v>
      </c>
      <c r="C16" s="61">
        <v>46109</v>
      </c>
      <c r="D16" s="57">
        <v>3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59"/>
      <c r="Z16" s="59"/>
      <c r="AA16" s="59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</row>
    <row r="17" spans="1:65" x14ac:dyDescent="0.35">
      <c r="A17" s="45" t="str">
        <v>Criação do sistema de combate</v>
      </c>
      <c r="B17" s="61">
        <v>46109</v>
      </c>
      <c r="C17" s="61">
        <v>46137</v>
      </c>
      <c r="D17" s="57">
        <v>5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59"/>
      <c r="AC17" s="59"/>
      <c r="AD17" s="59"/>
      <c r="AE17" s="59"/>
      <c r="AF17" s="59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</row>
    <row r="18" spans="1:65" x14ac:dyDescent="0.35">
      <c r="A18" s="45" t="str">
        <v>Acompanhar progresso</v>
      </c>
      <c r="B18" s="61">
        <v>46018</v>
      </c>
      <c r="C18" s="61">
        <v>46354</v>
      </c>
      <c r="D18" s="57">
        <v>48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45"/>
      <c r="BM18" s="45"/>
    </row>
    <row r="19" spans="1:65" x14ac:dyDescent="0.35">
      <c r="A19" s="45" t="str">
        <v>Verificação de bugs</v>
      </c>
      <c r="B19" s="61">
        <v>46277</v>
      </c>
      <c r="C19" s="61">
        <v>46326</v>
      </c>
      <c r="D19" s="57">
        <v>8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59"/>
      <c r="BA19" s="59"/>
      <c r="BB19" s="59"/>
      <c r="BC19" s="59"/>
      <c r="BD19" s="59"/>
      <c r="BE19" s="59"/>
      <c r="BF19" s="59"/>
      <c r="BG19" s="59"/>
      <c r="BH19" s="45"/>
      <c r="BI19" s="45"/>
      <c r="BJ19" s="45"/>
      <c r="BK19" s="45"/>
      <c r="BL19" s="45"/>
      <c r="BM19" s="45"/>
    </row>
    <row r="20" spans="1:65" x14ac:dyDescent="0.35">
      <c r="A20" s="45" t="str">
        <v>Correção de bugs</v>
      </c>
      <c r="B20" s="61">
        <v>46333</v>
      </c>
      <c r="C20" s="61">
        <v>46354</v>
      </c>
      <c r="D20" s="57">
        <v>4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59"/>
      <c r="BI20" s="59"/>
      <c r="BJ20" s="59"/>
      <c r="BK20" s="59"/>
      <c r="BL20" s="45"/>
      <c r="BM20" s="45"/>
    </row>
    <row r="21" spans="1:65" x14ac:dyDescent="0.35">
      <c r="A21" s="45" t="str">
        <v>Apresentação final</v>
      </c>
      <c r="B21" s="61">
        <v>46361</v>
      </c>
      <c r="C21" s="61">
        <v>46368</v>
      </c>
      <c r="D21" s="57">
        <v>2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59"/>
      <c r="BM21" s="59"/>
    </row>
  </sheetData>
  <mergeCells count="1">
    <mergeCell ref="A1:B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CD5-05E6-4E5E-A460-905E3245D561}">
  <dimension ref="A1:BM32"/>
  <sheetViews>
    <sheetView tabSelected="1" topLeftCell="A15" zoomScale="70" zoomScaleNormal="70" workbookViewId="0">
      <selection activeCell="D20" sqref="D20"/>
    </sheetView>
  </sheetViews>
  <sheetFormatPr defaultRowHeight="14.5" x14ac:dyDescent="0.35"/>
  <cols>
    <col min="1" max="1" width="45.6328125" bestFit="1" customWidth="1"/>
    <col min="2" max="3" width="11.08984375" bestFit="1" customWidth="1"/>
    <col min="4" max="4" width="17.90625" bestFit="1" customWidth="1"/>
    <col min="5" max="56" width="3.54296875" customWidth="1"/>
  </cols>
  <sheetData>
    <row r="1" spans="1:65" ht="26" x14ac:dyDescent="0.6">
      <c r="A1" s="77" t="s">
        <v>57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</row>
    <row r="2" spans="1:65" ht="150" customHeight="1" x14ac:dyDescent="0.35">
      <c r="A2" s="65" t="s">
        <v>2</v>
      </c>
      <c r="B2" s="66" t="s">
        <v>5</v>
      </c>
      <c r="C2" s="65" t="s">
        <v>6</v>
      </c>
      <c r="D2" s="65" t="s">
        <v>58</v>
      </c>
      <c r="E2" s="67">
        <v>46025</v>
      </c>
      <c r="F2" s="67">
        <f t="shared" ref="F2:BB2" si="0">E2+7</f>
        <v>46032</v>
      </c>
      <c r="G2" s="67">
        <f t="shared" si="0"/>
        <v>46039</v>
      </c>
      <c r="H2" s="67">
        <f t="shared" si="0"/>
        <v>46046</v>
      </c>
      <c r="I2" s="67">
        <f t="shared" si="0"/>
        <v>46053</v>
      </c>
      <c r="J2" s="67">
        <f t="shared" si="0"/>
        <v>46060</v>
      </c>
      <c r="K2" s="67">
        <f t="shared" si="0"/>
        <v>46067</v>
      </c>
      <c r="L2" s="67">
        <f t="shared" si="0"/>
        <v>46074</v>
      </c>
      <c r="M2" s="67">
        <f t="shared" si="0"/>
        <v>46081</v>
      </c>
      <c r="N2" s="67">
        <f t="shared" si="0"/>
        <v>46088</v>
      </c>
      <c r="O2" s="67">
        <f t="shared" si="0"/>
        <v>46095</v>
      </c>
      <c r="P2" s="67">
        <f t="shared" si="0"/>
        <v>46102</v>
      </c>
      <c r="Q2" s="67">
        <f t="shared" si="0"/>
        <v>46109</v>
      </c>
      <c r="R2" s="67">
        <f t="shared" si="0"/>
        <v>46116</v>
      </c>
      <c r="S2" s="67">
        <f t="shared" si="0"/>
        <v>46123</v>
      </c>
      <c r="T2" s="67">
        <f t="shared" si="0"/>
        <v>46130</v>
      </c>
      <c r="U2" s="67">
        <f t="shared" si="0"/>
        <v>46137</v>
      </c>
      <c r="V2" s="67">
        <f t="shared" si="0"/>
        <v>46144</v>
      </c>
      <c r="W2" s="67">
        <f t="shared" si="0"/>
        <v>46151</v>
      </c>
      <c r="X2" s="67">
        <f t="shared" si="0"/>
        <v>46158</v>
      </c>
      <c r="Y2" s="67">
        <f t="shared" si="0"/>
        <v>46165</v>
      </c>
      <c r="Z2" s="67">
        <f t="shared" si="0"/>
        <v>46172</v>
      </c>
      <c r="AA2" s="67">
        <f t="shared" si="0"/>
        <v>46179</v>
      </c>
      <c r="AB2" s="67">
        <f t="shared" si="0"/>
        <v>46186</v>
      </c>
      <c r="AC2" s="67">
        <f t="shared" si="0"/>
        <v>46193</v>
      </c>
      <c r="AD2" s="67">
        <f t="shared" si="0"/>
        <v>46200</v>
      </c>
      <c r="AE2" s="67">
        <f t="shared" si="0"/>
        <v>46207</v>
      </c>
      <c r="AF2" s="67">
        <f t="shared" si="0"/>
        <v>46214</v>
      </c>
      <c r="AG2" s="67">
        <f t="shared" si="0"/>
        <v>46221</v>
      </c>
      <c r="AH2" s="67">
        <f t="shared" si="0"/>
        <v>46228</v>
      </c>
      <c r="AI2" s="67">
        <f t="shared" si="0"/>
        <v>46235</v>
      </c>
      <c r="AJ2" s="67">
        <f t="shared" si="0"/>
        <v>46242</v>
      </c>
      <c r="AK2" s="67">
        <f t="shared" si="0"/>
        <v>46249</v>
      </c>
      <c r="AL2" s="67">
        <f t="shared" si="0"/>
        <v>46256</v>
      </c>
      <c r="AM2" s="67">
        <f t="shared" si="0"/>
        <v>46263</v>
      </c>
      <c r="AN2" s="67">
        <f t="shared" si="0"/>
        <v>46270</v>
      </c>
      <c r="AO2" s="67">
        <f t="shared" si="0"/>
        <v>46277</v>
      </c>
      <c r="AP2" s="67">
        <f t="shared" si="0"/>
        <v>46284</v>
      </c>
      <c r="AQ2" s="67">
        <f t="shared" si="0"/>
        <v>46291</v>
      </c>
      <c r="AR2" s="67">
        <f t="shared" si="0"/>
        <v>46298</v>
      </c>
      <c r="AS2" s="68">
        <f t="shared" si="0"/>
        <v>46305</v>
      </c>
      <c r="AT2" s="68">
        <f t="shared" si="0"/>
        <v>46312</v>
      </c>
      <c r="AU2" s="68">
        <f t="shared" si="0"/>
        <v>46319</v>
      </c>
      <c r="AV2" s="68">
        <f t="shared" si="0"/>
        <v>46326</v>
      </c>
      <c r="AW2" s="68">
        <f t="shared" si="0"/>
        <v>46333</v>
      </c>
      <c r="AX2" s="68">
        <f t="shared" si="0"/>
        <v>46340</v>
      </c>
      <c r="AY2" s="68">
        <f t="shared" si="0"/>
        <v>46347</v>
      </c>
      <c r="AZ2" s="68">
        <f t="shared" si="0"/>
        <v>46354</v>
      </c>
      <c r="BA2" s="68">
        <f t="shared" si="0"/>
        <v>46361</v>
      </c>
      <c r="BB2" s="69">
        <f t="shared" si="0"/>
        <v>46368</v>
      </c>
      <c r="BC2" s="48"/>
      <c r="BM2" s="64"/>
    </row>
    <row r="3" spans="1:65" x14ac:dyDescent="0.35">
      <c r="A3" s="52" t="s">
        <v>9</v>
      </c>
      <c r="B3" s="72">
        <v>46025</v>
      </c>
      <c r="C3" s="72">
        <v>46039</v>
      </c>
      <c r="D3" s="73">
        <v>2</v>
      </c>
      <c r="E3" s="23"/>
      <c r="F3" s="23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70"/>
      <c r="AS3" s="71"/>
      <c r="AT3" s="71"/>
      <c r="AU3" s="71"/>
      <c r="AV3" s="71"/>
      <c r="AW3" s="71"/>
      <c r="AX3" s="71"/>
      <c r="AY3" s="71"/>
      <c r="AZ3" s="71"/>
      <c r="BA3" s="71"/>
      <c r="BB3" s="71"/>
    </row>
    <row r="4" spans="1:65" x14ac:dyDescent="0.35">
      <c r="A4" s="74" t="s">
        <v>59</v>
      </c>
      <c r="B4" s="72">
        <v>46039</v>
      </c>
      <c r="C4" s="72">
        <v>45814</v>
      </c>
      <c r="D4" s="73">
        <v>20</v>
      </c>
      <c r="E4" s="52"/>
      <c r="F4" s="5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70"/>
      <c r="AS4" s="71"/>
      <c r="AT4" s="71"/>
      <c r="AU4" s="71"/>
      <c r="AV4" s="71"/>
      <c r="AW4" s="71"/>
      <c r="AX4" s="71"/>
      <c r="AY4" s="71"/>
      <c r="AZ4" s="71"/>
      <c r="BA4" s="71"/>
      <c r="BB4" s="71"/>
    </row>
    <row r="5" spans="1:65" x14ac:dyDescent="0.35">
      <c r="A5" s="74" t="s">
        <v>60</v>
      </c>
      <c r="B5" s="72">
        <v>46039</v>
      </c>
      <c r="C5" s="72">
        <v>45814</v>
      </c>
      <c r="D5" s="73">
        <v>20</v>
      </c>
      <c r="E5" s="52"/>
      <c r="F5" s="5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70"/>
      <c r="AS5" s="71"/>
      <c r="AT5" s="71"/>
      <c r="AU5" s="71"/>
      <c r="AV5" s="71"/>
      <c r="AW5" s="71"/>
      <c r="AX5" s="71"/>
      <c r="AY5" s="71"/>
      <c r="AZ5" s="71"/>
      <c r="BA5" s="71"/>
      <c r="BB5" s="71"/>
    </row>
    <row r="6" spans="1:65" x14ac:dyDescent="0.35">
      <c r="A6" s="52" t="s">
        <v>61</v>
      </c>
      <c r="B6" s="72">
        <v>46179</v>
      </c>
      <c r="C6" s="72">
        <v>46235</v>
      </c>
      <c r="D6" s="73">
        <v>5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62"/>
      <c r="AB6" s="62"/>
      <c r="AC6" s="62"/>
      <c r="AD6" s="62"/>
      <c r="AE6" s="62"/>
      <c r="AF6" s="62"/>
      <c r="AG6" s="62"/>
      <c r="AH6" s="62"/>
      <c r="AI6" s="52"/>
      <c r="AJ6" s="52"/>
      <c r="AK6" s="52"/>
      <c r="AL6" s="52"/>
      <c r="AM6" s="52"/>
      <c r="AN6" s="52"/>
      <c r="AO6" s="52"/>
      <c r="AP6" s="52"/>
      <c r="AQ6" s="52"/>
      <c r="AR6" s="70"/>
      <c r="AS6" s="71"/>
      <c r="AT6" s="71"/>
      <c r="AU6" s="71"/>
      <c r="AV6" s="71"/>
      <c r="AW6" s="71"/>
      <c r="AX6" s="71"/>
      <c r="AY6" s="71"/>
      <c r="AZ6" s="71"/>
      <c r="BA6" s="71"/>
      <c r="BB6" s="71"/>
    </row>
    <row r="7" spans="1:65" x14ac:dyDescent="0.35">
      <c r="A7" s="52" t="s">
        <v>62</v>
      </c>
      <c r="B7" s="72">
        <v>46235</v>
      </c>
      <c r="C7" s="72">
        <v>46277</v>
      </c>
      <c r="D7" s="73">
        <v>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62"/>
      <c r="AJ7" s="62"/>
      <c r="AK7" s="62"/>
      <c r="AL7" s="62"/>
      <c r="AM7" s="62"/>
      <c r="AN7" s="62"/>
      <c r="AO7" s="52"/>
      <c r="AP7" s="52"/>
      <c r="AQ7" s="52"/>
      <c r="AR7" s="70"/>
      <c r="AS7" s="71"/>
      <c r="AT7" s="71"/>
      <c r="AU7" s="71"/>
      <c r="AV7" s="71"/>
      <c r="AW7" s="71"/>
      <c r="AX7" s="71"/>
      <c r="AY7" s="71"/>
      <c r="AZ7" s="71"/>
      <c r="BA7" s="71"/>
      <c r="BB7" s="71"/>
    </row>
    <row r="8" spans="1:65" x14ac:dyDescent="0.35">
      <c r="A8" s="52" t="s">
        <v>63</v>
      </c>
      <c r="B8" s="72">
        <v>46277</v>
      </c>
      <c r="C8" s="72">
        <v>46319</v>
      </c>
      <c r="D8" s="73">
        <v>4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62"/>
      <c r="AP8" s="62"/>
      <c r="AQ8" s="62"/>
      <c r="AR8" s="63"/>
      <c r="AS8" s="59"/>
      <c r="AT8" s="59"/>
      <c r="AU8" s="71"/>
      <c r="AV8" s="71"/>
      <c r="AW8" s="71"/>
      <c r="AX8" s="71"/>
      <c r="AY8" s="71"/>
      <c r="AZ8" s="71"/>
      <c r="BA8" s="71"/>
      <c r="BB8" s="71"/>
    </row>
    <row r="9" spans="1:65" x14ac:dyDescent="0.35">
      <c r="A9" s="74" t="s">
        <v>64</v>
      </c>
      <c r="B9" s="72">
        <v>46319</v>
      </c>
      <c r="C9" s="72">
        <v>46361</v>
      </c>
      <c r="D9" s="73">
        <v>10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70"/>
      <c r="AS9" s="71"/>
      <c r="AT9" s="71"/>
      <c r="AU9" s="59"/>
      <c r="AV9" s="59"/>
      <c r="AW9" s="59"/>
      <c r="AX9" s="59"/>
      <c r="AY9" s="59"/>
      <c r="AZ9" s="59"/>
      <c r="BA9" s="71"/>
      <c r="BB9" s="71"/>
    </row>
    <row r="10" spans="1:65" x14ac:dyDescent="0.35">
      <c r="A10" s="54" t="s">
        <v>65</v>
      </c>
      <c r="B10" s="72">
        <v>46361</v>
      </c>
      <c r="C10" s="72">
        <v>46179</v>
      </c>
      <c r="D10" s="73">
        <v>2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70"/>
      <c r="AS10" s="71"/>
      <c r="AT10" s="71"/>
      <c r="AU10" s="71"/>
      <c r="AV10" s="71"/>
      <c r="AW10" s="71"/>
      <c r="AX10" s="71"/>
      <c r="AY10" s="71"/>
      <c r="AZ10" s="71"/>
      <c r="BA10" s="59"/>
      <c r="BB10" s="59"/>
    </row>
    <row r="19" spans="1:56" ht="57.5" x14ac:dyDescent="0.35">
      <c r="A19" s="78"/>
      <c r="B19" s="78"/>
      <c r="C19" s="78"/>
      <c r="D19" s="1" t="s">
        <v>81</v>
      </c>
      <c r="E19" s="47">
        <v>46023</v>
      </c>
      <c r="F19" s="47">
        <f>E19+7</f>
        <v>46030</v>
      </c>
      <c r="G19" s="47">
        <f t="shared" ref="G19:BD19" si="1">F19+7</f>
        <v>46037</v>
      </c>
      <c r="H19" s="47">
        <f t="shared" si="1"/>
        <v>46044</v>
      </c>
      <c r="I19" s="47">
        <f t="shared" si="1"/>
        <v>46051</v>
      </c>
      <c r="J19" s="47">
        <f t="shared" si="1"/>
        <v>46058</v>
      </c>
      <c r="K19" s="47">
        <f t="shared" si="1"/>
        <v>46065</v>
      </c>
      <c r="L19" s="47">
        <f t="shared" si="1"/>
        <v>46072</v>
      </c>
      <c r="M19" s="47">
        <f t="shared" si="1"/>
        <v>46079</v>
      </c>
      <c r="N19" s="47">
        <f t="shared" si="1"/>
        <v>46086</v>
      </c>
      <c r="O19" s="47">
        <f t="shared" si="1"/>
        <v>46093</v>
      </c>
      <c r="P19" s="47">
        <f t="shared" si="1"/>
        <v>46100</v>
      </c>
      <c r="Q19" s="47">
        <f t="shared" si="1"/>
        <v>46107</v>
      </c>
      <c r="R19" s="47">
        <f t="shared" si="1"/>
        <v>46114</v>
      </c>
      <c r="S19" s="47">
        <f t="shared" si="1"/>
        <v>46121</v>
      </c>
      <c r="T19" s="47">
        <f t="shared" si="1"/>
        <v>46128</v>
      </c>
      <c r="U19" s="47">
        <f t="shared" si="1"/>
        <v>46135</v>
      </c>
      <c r="V19" s="47">
        <f t="shared" si="1"/>
        <v>46142</v>
      </c>
      <c r="W19" s="47">
        <f t="shared" si="1"/>
        <v>46149</v>
      </c>
      <c r="X19" s="47">
        <f t="shared" si="1"/>
        <v>46156</v>
      </c>
      <c r="Y19" s="47">
        <f t="shared" si="1"/>
        <v>46163</v>
      </c>
      <c r="Z19" s="47">
        <f t="shared" si="1"/>
        <v>46170</v>
      </c>
      <c r="AA19" s="47">
        <f t="shared" si="1"/>
        <v>46177</v>
      </c>
      <c r="AB19" s="47">
        <f t="shared" si="1"/>
        <v>46184</v>
      </c>
      <c r="AC19" s="47">
        <f t="shared" si="1"/>
        <v>46191</v>
      </c>
      <c r="AD19" s="47">
        <f t="shared" si="1"/>
        <v>46198</v>
      </c>
      <c r="AE19" s="47">
        <f t="shared" si="1"/>
        <v>46205</v>
      </c>
      <c r="AF19" s="47">
        <f t="shared" si="1"/>
        <v>46212</v>
      </c>
      <c r="AG19" s="47">
        <f t="shared" si="1"/>
        <v>46219</v>
      </c>
      <c r="AH19" s="47">
        <f t="shared" si="1"/>
        <v>46226</v>
      </c>
      <c r="AI19" s="47">
        <f t="shared" si="1"/>
        <v>46233</v>
      </c>
      <c r="AJ19" s="47">
        <f t="shared" si="1"/>
        <v>46240</v>
      </c>
      <c r="AK19" s="47">
        <f t="shared" si="1"/>
        <v>46247</v>
      </c>
      <c r="AL19" s="47">
        <f t="shared" si="1"/>
        <v>46254</v>
      </c>
      <c r="AM19" s="47">
        <f t="shared" si="1"/>
        <v>46261</v>
      </c>
      <c r="AN19" s="47">
        <f t="shared" si="1"/>
        <v>46268</v>
      </c>
      <c r="AO19" s="47">
        <f t="shared" si="1"/>
        <v>46275</v>
      </c>
      <c r="AP19" s="47">
        <f t="shared" si="1"/>
        <v>46282</v>
      </c>
      <c r="AQ19" s="47">
        <f t="shared" si="1"/>
        <v>46289</v>
      </c>
      <c r="AR19" s="47">
        <f t="shared" si="1"/>
        <v>46296</v>
      </c>
      <c r="AS19" s="47">
        <f t="shared" si="1"/>
        <v>46303</v>
      </c>
      <c r="AT19" s="47">
        <f t="shared" si="1"/>
        <v>46310</v>
      </c>
      <c r="AU19" s="47">
        <f t="shared" si="1"/>
        <v>46317</v>
      </c>
      <c r="AV19" s="47">
        <f t="shared" si="1"/>
        <v>46324</v>
      </c>
      <c r="AW19" s="47">
        <f t="shared" si="1"/>
        <v>46331</v>
      </c>
      <c r="AX19" s="47">
        <f t="shared" si="1"/>
        <v>46338</v>
      </c>
      <c r="AY19" s="47">
        <f t="shared" si="1"/>
        <v>46345</v>
      </c>
      <c r="AZ19" s="47">
        <f t="shared" si="1"/>
        <v>46352</v>
      </c>
      <c r="BA19" s="47">
        <f t="shared" si="1"/>
        <v>46359</v>
      </c>
      <c r="BB19" s="47">
        <f t="shared" si="1"/>
        <v>46366</v>
      </c>
      <c r="BC19" s="47">
        <f t="shared" si="1"/>
        <v>46373</v>
      </c>
      <c r="BD19" s="47">
        <f t="shared" si="1"/>
        <v>46380</v>
      </c>
    </row>
    <row r="20" spans="1:56" ht="19.25" customHeight="1" x14ac:dyDescent="0.35">
      <c r="A20" s="1" t="s">
        <v>78</v>
      </c>
      <c r="B20" s="1" t="s">
        <v>80</v>
      </c>
      <c r="C20" s="1" t="s">
        <v>6</v>
      </c>
      <c r="D20" s="1" t="s">
        <v>79</v>
      </c>
      <c r="E20" s="1">
        <v>1</v>
      </c>
      <c r="F20" s="1">
        <v>2</v>
      </c>
      <c r="G20" s="1">
        <v>3</v>
      </c>
      <c r="H20" s="1">
        <v>4</v>
      </c>
      <c r="I20" s="1">
        <v>5</v>
      </c>
      <c r="J20" s="1">
        <v>6</v>
      </c>
      <c r="K20" s="1">
        <v>7</v>
      </c>
      <c r="L20" s="1">
        <v>8</v>
      </c>
      <c r="M20" s="1">
        <v>9</v>
      </c>
      <c r="N20" s="1">
        <v>10</v>
      </c>
      <c r="O20" s="1">
        <v>11</v>
      </c>
      <c r="P20" s="1">
        <v>12</v>
      </c>
      <c r="Q20" s="1">
        <v>13</v>
      </c>
      <c r="R20" s="1">
        <v>14</v>
      </c>
      <c r="S20" s="1">
        <v>15</v>
      </c>
      <c r="T20" s="1">
        <v>16</v>
      </c>
      <c r="U20" s="1">
        <v>17</v>
      </c>
      <c r="V20" s="1">
        <v>18</v>
      </c>
      <c r="W20" s="1">
        <v>19</v>
      </c>
      <c r="X20" s="1">
        <v>20</v>
      </c>
      <c r="Y20" s="1">
        <v>21</v>
      </c>
      <c r="Z20" s="1">
        <v>22</v>
      </c>
      <c r="AA20" s="1">
        <v>23</v>
      </c>
      <c r="AB20" s="1">
        <v>24</v>
      </c>
      <c r="AC20" s="1">
        <v>25</v>
      </c>
      <c r="AD20" s="1">
        <v>26</v>
      </c>
      <c r="AE20" s="1">
        <v>27</v>
      </c>
      <c r="AF20" s="1">
        <v>28</v>
      </c>
      <c r="AG20" s="1">
        <v>29</v>
      </c>
      <c r="AH20" s="1">
        <v>30</v>
      </c>
      <c r="AI20" s="1">
        <v>31</v>
      </c>
      <c r="AJ20" s="1">
        <v>32</v>
      </c>
      <c r="AK20" s="1">
        <v>33</v>
      </c>
      <c r="AL20" s="1">
        <v>34</v>
      </c>
      <c r="AM20" s="1">
        <v>35</v>
      </c>
      <c r="AN20" s="1">
        <v>36</v>
      </c>
      <c r="AO20" s="1">
        <v>37</v>
      </c>
      <c r="AP20" s="1">
        <v>38</v>
      </c>
      <c r="AQ20" s="1">
        <v>39</v>
      </c>
      <c r="AR20" s="1">
        <v>40</v>
      </c>
      <c r="AS20" s="1">
        <v>41</v>
      </c>
      <c r="AT20" s="1">
        <v>42</v>
      </c>
      <c r="AU20" s="1">
        <v>43</v>
      </c>
      <c r="AV20" s="1">
        <v>44</v>
      </c>
      <c r="AW20" s="1">
        <v>45</v>
      </c>
      <c r="AX20" s="1">
        <v>46</v>
      </c>
      <c r="AY20" s="1">
        <v>47</v>
      </c>
      <c r="AZ20" s="1">
        <v>48</v>
      </c>
      <c r="BA20" s="1">
        <v>49</v>
      </c>
      <c r="BB20" s="1">
        <v>50</v>
      </c>
      <c r="BC20" s="1">
        <v>51</v>
      </c>
      <c r="BD20" s="1">
        <v>52</v>
      </c>
    </row>
    <row r="21" spans="1:56" ht="19.25" customHeight="1" x14ac:dyDescent="0.35">
      <c r="A21" s="1" t="s">
        <v>66</v>
      </c>
      <c r="B21" s="1">
        <v>12</v>
      </c>
      <c r="C21" s="1">
        <v>12</v>
      </c>
      <c r="D21" s="1"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6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ht="19.25" customHeight="1" x14ac:dyDescent="0.35">
      <c r="A22" s="1" t="s">
        <v>67</v>
      </c>
      <c r="B22" s="1">
        <v>13</v>
      </c>
      <c r="C22" s="1">
        <v>14</v>
      </c>
      <c r="D22" s="1">
        <v>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62"/>
      <c r="R22" s="6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ht="19.25" customHeight="1" x14ac:dyDescent="0.35">
      <c r="A23" s="1" t="s">
        <v>69</v>
      </c>
      <c r="B23" s="1">
        <v>15</v>
      </c>
      <c r="C23" s="1">
        <v>16</v>
      </c>
      <c r="D23" s="1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2"/>
      <c r="T23" s="62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ht="19.25" customHeight="1" x14ac:dyDescent="0.35">
      <c r="A24" s="1" t="s">
        <v>68</v>
      </c>
      <c r="B24" s="1">
        <v>15</v>
      </c>
      <c r="C24" s="1">
        <v>18</v>
      </c>
      <c r="D24" s="1">
        <v>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2"/>
      <c r="T24" s="62"/>
      <c r="U24" s="62"/>
      <c r="V24" s="6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ht="19.25" customHeight="1" x14ac:dyDescent="0.35">
      <c r="A25" s="1" t="s">
        <v>70</v>
      </c>
      <c r="B25" s="1">
        <v>17</v>
      </c>
      <c r="C25" s="1">
        <v>24</v>
      </c>
      <c r="D25" s="1">
        <v>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62"/>
      <c r="V25" s="62"/>
      <c r="W25" s="62"/>
      <c r="X25" s="62"/>
      <c r="Y25" s="62"/>
      <c r="Z25" s="62"/>
      <c r="AA25" s="62"/>
      <c r="AB25" s="6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ht="19.25" customHeight="1" x14ac:dyDescent="0.35">
      <c r="A26" s="1" t="s">
        <v>71</v>
      </c>
      <c r="B26" s="1">
        <v>19</v>
      </c>
      <c r="C26" s="1">
        <v>34</v>
      </c>
      <c r="D26" s="1">
        <v>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ht="19.25" customHeight="1" x14ac:dyDescent="0.35">
      <c r="A27" s="1" t="s">
        <v>74</v>
      </c>
      <c r="B27" s="1">
        <v>19</v>
      </c>
      <c r="C27" s="1">
        <v>34</v>
      </c>
      <c r="D27" s="1">
        <v>16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19.25" customHeight="1" x14ac:dyDescent="0.35">
      <c r="A28" s="1" t="s">
        <v>72</v>
      </c>
      <c r="B28" s="1">
        <v>35</v>
      </c>
      <c r="C28" s="1">
        <v>36</v>
      </c>
      <c r="D28" s="1">
        <v>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62"/>
      <c r="AN28" s="62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9.25" customHeight="1" x14ac:dyDescent="0.35">
      <c r="A29" s="1" t="s">
        <v>73</v>
      </c>
      <c r="B29" s="1">
        <v>35</v>
      </c>
      <c r="C29" s="1">
        <v>36</v>
      </c>
      <c r="D29" s="1">
        <v>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62"/>
      <c r="AN29" s="62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19.25" customHeight="1" x14ac:dyDescent="0.35">
      <c r="A30" s="1" t="s">
        <v>75</v>
      </c>
      <c r="B30" s="1">
        <v>37</v>
      </c>
      <c r="C30" s="1">
        <v>39</v>
      </c>
      <c r="D30" s="1">
        <v>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62"/>
      <c r="AP30" s="62"/>
      <c r="AQ30" s="62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ht="19.25" customHeight="1" x14ac:dyDescent="0.35">
      <c r="A31" s="1" t="s">
        <v>76</v>
      </c>
      <c r="B31" s="1">
        <v>40</v>
      </c>
      <c r="C31" s="1">
        <v>48</v>
      </c>
      <c r="D31" s="1">
        <v>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62"/>
      <c r="AS31" s="62"/>
      <c r="AT31" s="62"/>
      <c r="AU31" s="62"/>
      <c r="AV31" s="62"/>
      <c r="AW31" s="62"/>
      <c r="AX31" s="62"/>
      <c r="AY31" s="62"/>
      <c r="AZ31" s="62"/>
      <c r="BA31" s="1"/>
      <c r="BB31" s="1"/>
      <c r="BC31" s="1"/>
      <c r="BD31" s="1"/>
    </row>
    <row r="32" spans="1:56" ht="19.25" customHeight="1" x14ac:dyDescent="0.35">
      <c r="A32" s="1" t="s">
        <v>77</v>
      </c>
      <c r="B32" s="1">
        <v>49</v>
      </c>
      <c r="C32" s="1">
        <v>50</v>
      </c>
      <c r="D32" s="1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62"/>
      <c r="BB32" s="62"/>
      <c r="BC32" s="1"/>
      <c r="BD32" s="1"/>
    </row>
  </sheetData>
  <mergeCells count="1">
    <mergeCell ref="A1:B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9FF33C71E60F4688235E5BA7759802" ma:contentTypeVersion="3" ma:contentTypeDescription="Crie um novo documento." ma:contentTypeScope="" ma:versionID="ba96225de6e99f90adaed20844f1c3db">
  <xsd:schema xmlns:xsd="http://www.w3.org/2001/XMLSchema" xmlns:xs="http://www.w3.org/2001/XMLSchema" xmlns:p="http://schemas.microsoft.com/office/2006/metadata/properties" xmlns:ns2="a1f42822-025b-48c7-8f44-aba762137fd2" targetNamespace="http://schemas.microsoft.com/office/2006/metadata/properties" ma:root="true" ma:fieldsID="a2a0ec05eb3d36a61fc7df3ba6e097a0" ns2:_="">
    <xsd:import namespace="a1f42822-025b-48c7-8f44-aba762137f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2822-025b-48c7-8f44-aba762137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170288-A63F-4336-A5F4-FC42BA86F0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A091C5-8A85-4543-B748-0AD90ECAF5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42822-025b-48c7-8f44-aba762137f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AC59D-9FEB-43A2-A9AE-DB640B5FC5F1}">
  <ds:schemaRefs>
    <ds:schemaRef ds:uri="http://schemas.openxmlformats.org/package/2006/metadata/core-properties"/>
    <ds:schemaRef ds:uri="a1f42822-025b-48c7-8f44-aba762137fd2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Cronograma</vt:lpstr>
      <vt:lpstr>Gráfico de Gantt</vt:lpstr>
      <vt:lpstr>Gráfico de Gantt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araujo</dc:creator>
  <cp:keywords/>
  <dc:description/>
  <cp:lastModifiedBy>lab31</cp:lastModifiedBy>
  <cp:revision/>
  <dcterms:created xsi:type="dcterms:W3CDTF">2025-10-17T20:34:09Z</dcterms:created>
  <dcterms:modified xsi:type="dcterms:W3CDTF">2026-03-23T22:41:29Z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0x010100BF9FF33C71E60F4688235E5BA7759802</vt:lpwstr>
  </property>
</Properties>
</file>